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INFO-SNAJERA\descargas\"/>
    </mc:Choice>
  </mc:AlternateContent>
  <xr:revisionPtr revIDLastSave="0" documentId="8_{562B77C0-EBF5-4F23-B7CF-D2F8F2A5516C}" xr6:coauthVersionLast="47" xr6:coauthVersionMax="47" xr10:uidLastSave="{00000000-0000-0000-0000-000000000000}"/>
  <bookViews>
    <workbookView xWindow="44835" yWindow="-165" windowWidth="21930" windowHeight="13230" activeTab="2" xr2:uid="{00000000-000D-0000-FFFF-FFFF00000000}"/>
  </bookViews>
  <sheets>
    <sheet name="Instrucciones" sheetId="1" r:id="rId1"/>
    <sheet name="Datos" sheetId="2" r:id="rId2"/>
    <sheet name="Modelo Solver" sheetId="3" r:id="rId3"/>
    <sheet name="Analisis" sheetId="4" r:id="rId4"/>
  </sheets>
  <definedNames>
    <definedName name="solver_adj" localSheetId="2" hidden="1">'Modelo Solver'!$B$6:$K$15</definedName>
    <definedName name="solver_cvg" localSheetId="2" hidden="1">0.0001</definedName>
    <definedName name="solver_drv" localSheetId="2" hidden="1">2</definedName>
    <definedName name="solver_eng" localSheetId="2" hidden="1">2</definedName>
    <definedName name="solver_est" localSheetId="2" hidden="1">1</definedName>
    <definedName name="solver_itr" localSheetId="2" hidden="1">2147483647</definedName>
    <definedName name="solver_lhs1" localSheetId="2" hidden="1">'Modelo Solver'!$B$17:$K$17</definedName>
    <definedName name="solver_lhs2" localSheetId="2" hidden="1">'Modelo Solver'!$F$32</definedName>
    <definedName name="solver_lhs3" localSheetId="2" hidden="1">'Modelo Solver'!$F$33</definedName>
    <definedName name="solver_lhs4" localSheetId="2" hidden="1">'Modelo Solver'!$L$6:$L$15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4</definedName>
    <definedName name="solver_nwt" localSheetId="2" hidden="1">1</definedName>
    <definedName name="solver_opt" localSheetId="2" hidden="1">'Modelo Solver'!$B$3</definedName>
    <definedName name="solver_pre" localSheetId="2" hidden="1">0.000001</definedName>
    <definedName name="solver_rbv" localSheetId="2" hidden="1">2</definedName>
    <definedName name="solver_rel1" localSheetId="2" hidden="1">2</definedName>
    <definedName name="solver_rel2" localSheetId="2" hidden="1">2</definedName>
    <definedName name="solver_rel3" localSheetId="2" hidden="1">2</definedName>
    <definedName name="solver_rel4" localSheetId="2" hidden="1">2</definedName>
    <definedName name="solver_rhs1" localSheetId="2" hidden="1">1</definedName>
    <definedName name="solver_rhs2" localSheetId="2" hidden="1">0</definedName>
    <definedName name="solver_rhs3" localSheetId="2" hidden="1">2</definedName>
    <definedName name="solver_rhs4" localSheetId="2" hidden="1">1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1</definedName>
    <definedName name="solver_val" localSheetId="2" hidden="1">0</definedName>
    <definedName name="solver_ver" localSheetId="2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3" l="1"/>
  <c r="F32" i="3"/>
  <c r="N27" i="3"/>
  <c r="O27" i="3" s="1"/>
  <c r="N26" i="3"/>
  <c r="O26" i="3" s="1"/>
  <c r="N25" i="3"/>
  <c r="O25" i="3" s="1"/>
  <c r="N24" i="3"/>
  <c r="O24" i="3" s="1"/>
  <c r="N23" i="3"/>
  <c r="O23" i="3" s="1"/>
  <c r="K17" i="3"/>
  <c r="J17" i="3"/>
  <c r="I17" i="3"/>
  <c r="H17" i="3"/>
  <c r="G17" i="3"/>
  <c r="F17" i="3"/>
  <c r="E17" i="3"/>
  <c r="D17" i="3"/>
  <c r="C17" i="3"/>
  <c r="B17" i="3"/>
  <c r="L15" i="3"/>
  <c r="N15" i="3" s="1"/>
  <c r="O15" i="3" s="1"/>
  <c r="L14" i="3"/>
  <c r="N14" i="3" s="1"/>
  <c r="O14" i="3" s="1"/>
  <c r="L13" i="3"/>
  <c r="N13" i="3" s="1"/>
  <c r="O13" i="3" s="1"/>
  <c r="L12" i="3"/>
  <c r="N12" i="3" s="1"/>
  <c r="O12" i="3" s="1"/>
  <c r="L11" i="3"/>
  <c r="N11" i="3" s="1"/>
  <c r="O11" i="3" s="1"/>
  <c r="L10" i="3"/>
  <c r="N10" i="3" s="1"/>
  <c r="O10" i="3" s="1"/>
  <c r="L9" i="3"/>
  <c r="N9" i="3" s="1"/>
  <c r="O9" i="3" s="1"/>
  <c r="L8" i="3"/>
  <c r="N8" i="3" s="1"/>
  <c r="O8" i="3" s="1"/>
  <c r="L7" i="3"/>
  <c r="N7" i="3" s="1"/>
  <c r="O7" i="3" s="1"/>
  <c r="L6" i="3"/>
  <c r="N6" i="3" s="1"/>
  <c r="O6" i="3" s="1"/>
  <c r="H3" i="3"/>
  <c r="E3" i="3"/>
  <c r="B3" i="3"/>
  <c r="N22" i="3" l="1"/>
  <c r="O22" i="3" s="1"/>
</calcChain>
</file>

<file path=xl/sharedStrings.xml><?xml version="1.0" encoding="utf-8"?>
<sst xmlns="http://schemas.openxmlformats.org/spreadsheetml/2006/main" count="253" uniqueCount="146">
  <si>
    <t>Contexto</t>
  </si>
  <si>
    <t>Una planta industrial tiene 10 fallas simultáneas y 10 técnicos disponibles. El reto es asignar un técnico a cada falla maximizando el desempeño técnico ajustado por riesgo y tiempo.</t>
  </si>
  <si>
    <t>Objetivo</t>
  </si>
  <si>
    <t>Maximizar el puntaje neto: efectividad técnica + bonificaciones - penalizaciones por riesgo y tiempo.</t>
  </si>
  <si>
    <t>Herramienta sugerida</t>
  </si>
  <si>
    <t>Usar Excel Solver: objetivo en Modelo Solver!B3, variables binarias en Modelo Solver!B6:K15.</t>
  </si>
  <si>
    <t>Restricción 1</t>
  </si>
  <si>
    <t>Cada falla debe recibir exactamente un técnico: totales por columna = 1.</t>
  </si>
  <si>
    <t>Restricción 2</t>
  </si>
  <si>
    <t>Cada técnico puede atender máximo una falla: totales por fila &lt;= 1.</t>
  </si>
  <si>
    <t>Restricción 3</t>
  </si>
  <si>
    <t>Las fallas críticas de alta criticidad deben asignarse con efectividad mínima de 7.</t>
  </si>
  <si>
    <t>Restricción 4</t>
  </si>
  <si>
    <t>T4 no puede atender fallas eléctricas: F5 y F6.</t>
  </si>
  <si>
    <t>Restricción 5</t>
  </si>
  <si>
    <t>T6 solo puede asignarse a F3, F7, F8 o F10.</t>
  </si>
  <si>
    <t>Restricción 6</t>
  </si>
  <si>
    <t>T1 y T5 no pueden trabajar simultáneamente en fallas eléctricas F5 o F6.</t>
  </si>
  <si>
    <t>Restricción 7</t>
  </si>
  <si>
    <t>T3 o T8 deben atender al menos una falla de automatización: F3, F8 o F10.</t>
  </si>
  <si>
    <t>Entregable</t>
  </si>
  <si>
    <t>Presentar la asignación óptima, puntaje total, tiempo total, restricciones activas y análisis de sensibilidad.</t>
  </si>
  <si>
    <t>Datos base del problema</t>
  </si>
  <si>
    <t>Código</t>
  </si>
  <si>
    <t>Falla</t>
  </si>
  <si>
    <t>Tipo</t>
  </si>
  <si>
    <t>Criticidad</t>
  </si>
  <si>
    <t>F1</t>
  </si>
  <si>
    <t>F1 Motor principal</t>
  </si>
  <si>
    <t>Mec./Eléc.</t>
  </si>
  <si>
    <t>Alta</t>
  </si>
  <si>
    <t>F2</t>
  </si>
  <si>
    <t>F2 Banda empaque</t>
  </si>
  <si>
    <t>Mecánica</t>
  </si>
  <si>
    <t>Media</t>
  </si>
  <si>
    <t>F3</t>
  </si>
  <si>
    <t>F3 Sensor horno</t>
  </si>
  <si>
    <t>Automatización</t>
  </si>
  <si>
    <t>F4</t>
  </si>
  <si>
    <t>F4 Sistema neumático</t>
  </si>
  <si>
    <t>Neumática</t>
  </si>
  <si>
    <t>F5</t>
  </si>
  <si>
    <t>F5 Variador freq.</t>
  </si>
  <si>
    <t>Eléctrica</t>
  </si>
  <si>
    <t>F6</t>
  </si>
  <si>
    <t>F6 Tablero control</t>
  </si>
  <si>
    <t>F7</t>
  </si>
  <si>
    <t>F7 Fuga hidráulica</t>
  </si>
  <si>
    <t>Hidráulica</t>
  </si>
  <si>
    <t>F8</t>
  </si>
  <si>
    <t>F8 Robot paletizador</t>
  </si>
  <si>
    <t>F9</t>
  </si>
  <si>
    <t>F9 Compresor aire</t>
  </si>
  <si>
    <t>Mec./Neum.</t>
  </si>
  <si>
    <t>F10</t>
  </si>
  <si>
    <t>F10 Visión artificial</t>
  </si>
  <si>
    <t>Efectividad técnica (1 a 10)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</si>
  <si>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</si>
  <si>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</si>
  <si>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</si>
  <si>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</si>
  <si>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</si>
  <si>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</si>
  <si>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</si>
  <si>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</si>
  <si>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</si>
  <si>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</si>
  <si>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Tiempo estimado de reparación (horas)</t>
  </si>
  <si>
    <t>Puntaje neto por celda</t>
  </si>
  <si>
    <t>Condición</t>
  </si>
  <si>
    <t>Impacto</t>
  </si>
  <si>
    <t>Criticidad alta con efectividad = 7</t>
  </si>
  <si>
    <t>-2</t>
  </si>
  <si>
    <t>Tiempo de reparación &gt; 5 horas</t>
  </si>
  <si>
    <t>-3</t>
  </si>
  <si>
    <t>T6 atiende F7</t>
  </si>
  <si>
    <t>+4</t>
  </si>
  <si>
    <t>T7 atiende F8 o F10</t>
  </si>
  <si>
    <t>+3</t>
  </si>
  <si>
    <t>T1 atiende F6</t>
  </si>
  <si>
    <t>+2</t>
  </si>
  <si>
    <t>T5 atiende F5</t>
  </si>
  <si>
    <t>Modelo para Excel Solver</t>
  </si>
  <si>
    <t>Puntaje total neto</t>
  </si>
  <si>
    <t>Tiempo total</t>
  </si>
  <si>
    <t>Estado general</t>
  </si>
  <si>
    <t>Técnico</t>
  </si>
  <si>
    <t>Total técnico</t>
  </si>
  <si>
    <t>Restricción de asignación</t>
  </si>
  <si>
    <t>Resultado</t>
  </si>
  <si>
    <t>Estado</t>
  </si>
  <si>
    <t>T1 máximo 1 falla</t>
  </si>
  <si>
    <t>T2 máximo 1 falla</t>
  </si>
  <si>
    <t>T3 máximo 1 falla</t>
  </si>
  <si>
    <t>T4 máximo 1 falla</t>
  </si>
  <si>
    <t>T5 máximo 1 falla</t>
  </si>
  <si>
    <t>T6 máximo 1 falla</t>
  </si>
  <si>
    <t>T7 máximo 1 falla</t>
  </si>
  <si>
    <t>T8 máximo 1 falla</t>
  </si>
  <si>
    <t>T9 máximo 1 falla</t>
  </si>
  <si>
    <t>T10 máximo 1 falla</t>
  </si>
  <si>
    <t>Total falla</t>
  </si>
  <si>
    <t>Puntaje neto usado</t>
  </si>
  <si>
    <t>Restricciones globales</t>
  </si>
  <si>
    <t>Cada falla exactamente una vez</t>
  </si>
  <si>
    <t>Críticas con efectividad mínima 7</t>
  </si>
  <si>
    <t>T4 no atiende F5 ni F6</t>
  </si>
  <si>
    <t>T6 solo en F3/F7/F8/F10</t>
  </si>
  <si>
    <t>T1 y T5 no simultáneos en eléctricas</t>
  </si>
  <si>
    <t>T3 o T8 atiende automatización</t>
  </si>
  <si>
    <t>Parámetros Solver</t>
  </si>
  <si>
    <t>B3</t>
  </si>
  <si>
    <t>Maximizar</t>
  </si>
  <si>
    <t>Variables</t>
  </si>
  <si>
    <t>B6:K15</t>
  </si>
  <si>
    <t>Binarias</t>
  </si>
  <si>
    <t>Restricción</t>
  </si>
  <si>
    <t>B17:K17 = 1</t>
  </si>
  <si>
    <t>Cada falla cubierta</t>
  </si>
  <si>
    <t>L6:L15 &lt;= 1</t>
  </si>
  <si>
    <t>Cada técnico máximo una falla</t>
  </si>
  <si>
    <t>Usar celdas M22:O27</t>
  </si>
  <si>
    <t>Verificar factibilidad</t>
  </si>
  <si>
    <t>Método sugerido</t>
  </si>
  <si>
    <t>Simplex LP / Evolutionary</t>
  </si>
  <si>
    <t>Con variables binarias</t>
  </si>
  <si>
    <t>Nota</t>
  </si>
  <si>
    <t>No modificar tablas de datos</t>
  </si>
  <si>
    <t>Solo celdas amarillas</t>
  </si>
  <si>
    <t>Plantilla de análisis para el estudiante</t>
  </si>
  <si>
    <t>Pregunta</t>
  </si>
  <si>
    <t>Respuesta del estudiante</t>
  </si>
  <si>
    <t>Evidencia / cálculo</t>
  </si>
  <si>
    <t>Conclusión</t>
  </si>
  <si>
    <t>¿Cuál es la asignación óptima por técnico y falla?</t>
  </si>
  <si>
    <t>¿Cuál es el puntaje total neto obtenido?</t>
  </si>
  <si>
    <t>¿Cuál es el tiempo total de reparación?</t>
  </si>
  <si>
    <t>¿Qué falla recibe el menor puntaje neto?</t>
  </si>
  <si>
    <t>¿Qué restricciones fueron vinculantes?</t>
  </si>
  <si>
    <t>¿Qué ocurre si el mínimo para fallas críticas sube de 7 a 8?</t>
  </si>
  <si>
    <t>¿Qué ocurre si T6 no está disponible?</t>
  </si>
  <si>
    <t>¿Conviene priorizar tiempo sobre efectividad?</t>
  </si>
  <si>
    <t>¿Qué técnico sería el cuello de botella del sistema?</t>
  </si>
  <si>
    <t>¿Qué recomendación haría al jefe de mantenimiento?</t>
  </si>
  <si>
    <t>Ejercicio -Asignación de técnicos a fallas críticas de planta</t>
  </si>
  <si>
    <t>No electricos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</si>
</sst>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name val="Carlito"/>
    </font>
    <font>
      <b/>
      <sz val="10"/>
      <name val="Calibri"/>
      <family val="2"/>
    </font>
    <font>
      <sz val="1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EAF3F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1" fillId="5" borderId="0" xfId="0" applyFont="1" applyFill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1" fillId="3" borderId="0" xfId="0" applyFont="1" applyFill="1" applyAlignment="1">
      <alignment wrapText="1"/>
    </xf>
    <xf numFmtId="1" fontId="0" fillId="4" borderId="0" xfId="0" applyNumberFormat="1" applyFill="1" applyAlignment="1">
      <alignment wrapText="1"/>
    </xf>
    <xf numFmtId="0" fontId="2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1" fontId="0" fillId="6" borderId="0" xfId="0" applyNumberFormat="1" applyFill="1" applyAlignment="1">
      <alignment wrapText="1"/>
    </xf>
    <xf numFmtId="1" fontId="0" fillId="0" borderId="0" xfId="0" applyNumberFormat="1" applyAlignment="1">
      <alignment wrapText="1"/>
    </xf>
    <xf numFmtId="1" fontId="0" fillId="7" borderId="0" xfId="0" applyNumberFormat="1" applyFill="1" applyAlignment="1">
      <alignment wrapText="1"/>
    </xf>
    <xf numFmtId="1" fontId="0" fillId="8" borderId="0" xfId="0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workbookViewId="0">
      <selection activeCell="B4" sqref="B4"/>
    </sheetView>
  </sheetViews>
  <sheetFormatPr baseColWidth="10" defaultColWidth="9" defaultRowHeight="14.25"/>
  <cols>
    <col min="1" max="1" width="24" customWidth="1"/>
    <col min="2" max="2" width="100" customWidth="1"/>
  </cols>
  <sheetData>
    <row r="1" spans="1:17" ht="32.1" customHeight="1">
      <c r="A1" s="10" t="s">
        <v>144</v>
      </c>
      <c r="B1" s="11"/>
      <c r="C1" s="11"/>
      <c r="D1" s="11"/>
      <c r="E1" s="11"/>
      <c r="F1" s="11"/>
      <c r="G1" s="11"/>
      <c r="H1" s="11"/>
      <c r="I1" s="11"/>
      <c r="J1" s="11"/>
      <c r="K1" s="2"/>
      <c r="L1" s="2"/>
      <c r="M1" s="2"/>
      <c r="N1" s="2"/>
      <c r="O1" s="2"/>
      <c r="P1" s="2"/>
      <c r="Q1" s="2"/>
    </row>
    <row r="3" spans="1:17" ht="29.25">
      <c r="A3" s="4" t="s">
        <v>0</v>
      </c>
      <c r="B3" s="5" t="s">
        <v>1</v>
      </c>
    </row>
    <row r="4" spans="1:17" ht="15">
      <c r="A4" s="4" t="s">
        <v>2</v>
      </c>
      <c r="B4" s="5" t="s">
        <v>3</v>
      </c>
    </row>
    <row r="5" spans="1:17" ht="15">
      <c r="A5" s="4" t="s">
        <v>4</v>
      </c>
      <c r="B5" s="5" t="s">
        <v>5</v>
      </c>
    </row>
    <row r="6" spans="1:17" ht="15">
      <c r="A6" s="4" t="s">
        <v>6</v>
      </c>
      <c r="B6" s="5" t="s">
        <v>7</v>
      </c>
    </row>
    <row r="7" spans="1:17" ht="15">
      <c r="A7" s="4" t="s">
        <v>8</v>
      </c>
      <c r="B7" s="5" t="s">
        <v>9</v>
      </c>
    </row>
    <row r="8" spans="1:17" ht="15">
      <c r="A8" s="4" t="s">
        <v>10</v>
      </c>
      <c r="B8" s="5" t="s">
        <v>11</v>
      </c>
    </row>
    <row r="9" spans="1:17" ht="15">
      <c r="A9" s="4" t="s">
        <v>12</v>
      </c>
      <c r="B9" s="5" t="s">
        <v>13</v>
      </c>
    </row>
    <row r="10" spans="1:17" ht="15">
      <c r="A10" s="4" t="s">
        <v>14</v>
      </c>
      <c r="B10" s="5" t="s">
        <v>15</v>
      </c>
    </row>
    <row r="11" spans="1:17" ht="15">
      <c r="A11" s="4" t="s">
        <v>16</v>
      </c>
      <c r="B11" s="5" t="s">
        <v>17</v>
      </c>
    </row>
    <row r="12" spans="1:17" ht="15">
      <c r="A12" s="4" t="s">
        <v>18</v>
      </c>
      <c r="B12" s="5" t="s">
        <v>19</v>
      </c>
    </row>
    <row r="13" spans="1:17" ht="15">
      <c r="A13" s="6" t="s">
        <v>20</v>
      </c>
      <c r="B13" s="7" t="s">
        <v>21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0"/>
  <sheetViews>
    <sheetView topLeftCell="A9" workbookViewId="0">
      <selection activeCell="B55" sqref="B55:B60"/>
    </sheetView>
  </sheetViews>
  <sheetFormatPr baseColWidth="10" defaultColWidth="9" defaultRowHeight="14.25"/>
  <cols>
    <col min="1" max="1" width="20" customWidth="1"/>
    <col min="2" max="2" width="30" customWidth="1"/>
    <col min="3" max="4" width="18" customWidth="1"/>
    <col min="5" max="11" width="10" customWidth="1"/>
  </cols>
  <sheetData>
    <row r="1" spans="1:17" ht="27.95" customHeight="1">
      <c r="A1" s="10" t="s">
        <v>22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2"/>
      <c r="N1" s="2"/>
      <c r="O1" s="2"/>
      <c r="P1" s="2"/>
      <c r="Q1" s="2"/>
    </row>
    <row r="3" spans="1:17" ht="15">
      <c r="A3" s="8" t="s">
        <v>23</v>
      </c>
      <c r="B3" s="8" t="s">
        <v>24</v>
      </c>
      <c r="C3" s="8" t="s">
        <v>25</v>
      </c>
      <c r="D3" s="8" t="s">
        <v>26</v>
      </c>
      <c r="E3" s="5"/>
      <c r="F3" s="5"/>
      <c r="G3" s="5"/>
      <c r="H3" s="5"/>
      <c r="I3" s="5"/>
      <c r="J3" s="5"/>
      <c r="K3" s="5"/>
    </row>
    <row r="4" spans="1:17">
      <c r="A4" s="5" t="s">
        <v>27</v>
      </c>
      <c r="B4" s="5" t="s">
        <v>28</v>
      </c>
      <c r="C4" s="5" t="s">
        <v>29</v>
      </c>
      <c r="D4" s="5" t="s">
        <v>30</v>
      </c>
      <c r="E4" s="5"/>
      <c r="F4" s="5"/>
      <c r="G4" s="5"/>
      <c r="H4" s="5"/>
      <c r="I4" s="5"/>
      <c r="J4" s="5"/>
      <c r="K4" s="5"/>
    </row>
    <row r="5" spans="1:17">
      <c r="A5" s="5" t="s">
        <v>31</v>
      </c>
      <c r="B5" s="5" t="s">
        <v>32</v>
      </c>
      <c r="C5" s="5" t="s">
        <v>33</v>
      </c>
      <c r="D5" s="5" t="s">
        <v>34</v>
      </c>
      <c r="E5" s="5"/>
      <c r="F5" s="5"/>
      <c r="G5" s="5"/>
      <c r="H5" s="5"/>
      <c r="I5" s="5"/>
      <c r="J5" s="5"/>
      <c r="K5" s="5"/>
    </row>
    <row r="6" spans="1:17">
      <c r="A6" s="5" t="s">
        <v>35</v>
      </c>
      <c r="B6" s="5" t="s">
        <v>36</v>
      </c>
      <c r="C6" s="5" t="s">
        <v>37</v>
      </c>
      <c r="D6" s="5" t="s">
        <v>30</v>
      </c>
      <c r="E6" s="5"/>
      <c r="F6" s="5"/>
      <c r="G6" s="5"/>
      <c r="H6" s="5"/>
      <c r="I6" s="5"/>
      <c r="J6" s="5"/>
      <c r="K6" s="5"/>
    </row>
    <row r="7" spans="1:17">
      <c r="A7" s="5" t="s">
        <v>38</v>
      </c>
      <c r="B7" s="5" t="s">
        <v>39</v>
      </c>
      <c r="C7" s="5" t="s">
        <v>40</v>
      </c>
      <c r="D7" s="5" t="s">
        <v>34</v>
      </c>
      <c r="E7" s="5"/>
      <c r="F7" s="5"/>
      <c r="G7" s="5"/>
      <c r="H7" s="5"/>
      <c r="I7" s="5"/>
      <c r="J7" s="5"/>
      <c r="K7" s="5"/>
    </row>
    <row r="8" spans="1:17">
      <c r="A8" s="5" t="s">
        <v>41</v>
      </c>
      <c r="B8" s="5" t="s">
        <v>42</v>
      </c>
      <c r="C8" s="5" t="s">
        <v>43</v>
      </c>
      <c r="D8" s="5" t="s">
        <v>30</v>
      </c>
      <c r="E8" s="5"/>
      <c r="F8" s="5"/>
      <c r="G8" s="5"/>
      <c r="H8" s="5"/>
      <c r="I8" s="5"/>
      <c r="J8" s="5"/>
      <c r="K8" s="5"/>
    </row>
    <row r="9" spans="1:17">
      <c r="A9" s="5" t="s">
        <v>44</v>
      </c>
      <c r="B9" s="5" t="s">
        <v>45</v>
      </c>
      <c r="C9" s="5" t="s">
        <v>43</v>
      </c>
      <c r="D9" s="5" t="s">
        <v>30</v>
      </c>
      <c r="E9" s="5"/>
      <c r="F9" s="5"/>
      <c r="G9" s="5"/>
      <c r="H9" s="5"/>
      <c r="I9" s="5"/>
      <c r="J9" s="5"/>
      <c r="K9" s="5"/>
    </row>
    <row r="10" spans="1:17">
      <c r="A10" s="5" t="s">
        <v>46</v>
      </c>
      <c r="B10" s="5" t="s">
        <v>47</v>
      </c>
      <c r="C10" s="5" t="s">
        <v>48</v>
      </c>
      <c r="D10" s="5" t="s">
        <v>34</v>
      </c>
      <c r="E10" s="5"/>
      <c r="F10" s="5"/>
      <c r="G10" s="5"/>
      <c r="H10" s="5"/>
      <c r="I10" s="5"/>
      <c r="J10" s="5"/>
      <c r="K10" s="5"/>
    </row>
    <row r="11" spans="1:17">
      <c r="A11" s="5" t="s">
        <v>49</v>
      </c>
      <c r="B11" s="5" t="s">
        <v>50</v>
      </c>
      <c r="C11" s="5" t="s">
        <v>37</v>
      </c>
      <c r="D11" s="5" t="s">
        <v>30</v>
      </c>
      <c r="E11" s="5"/>
      <c r="F11" s="5"/>
      <c r="G11" s="5"/>
      <c r="H11" s="5"/>
      <c r="I11" s="5"/>
      <c r="J11" s="5"/>
      <c r="K11" s="5"/>
    </row>
    <row r="12" spans="1:17">
      <c r="A12" s="5" t="s">
        <v>51</v>
      </c>
      <c r="B12" s="5" t="s">
        <v>52</v>
      </c>
      <c r="C12" s="5" t="s">
        <v>53</v>
      </c>
      <c r="D12" s="5" t="s">
        <v>30</v>
      </c>
      <c r="E12" s="5"/>
      <c r="F12" s="5"/>
      <c r="G12" s="5"/>
      <c r="H12" s="5"/>
      <c r="I12" s="5"/>
      <c r="J12" s="5"/>
      <c r="K12" s="5"/>
    </row>
    <row r="13" spans="1:17">
      <c r="A13" s="5" t="s">
        <v>54</v>
      </c>
      <c r="B13" s="5" t="s">
        <v>55</v>
      </c>
      <c r="C13" s="5" t="s">
        <v>37</v>
      </c>
      <c r="D13" s="5" t="s">
        <v>34</v>
      </c>
      <c r="E13" s="5"/>
      <c r="F13" s="5"/>
      <c r="G13" s="5"/>
      <c r="H13" s="5"/>
      <c r="I13" s="5"/>
      <c r="J13" s="5"/>
      <c r="K13" s="5"/>
    </row>
    <row r="14" spans="1:17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7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7" ht="30">
      <c r="A16" s="8" t="s">
        <v>56</v>
      </c>
      <c r="B16" s="8" t="s">
        <v>27</v>
      </c>
      <c r="C16" s="8" t="s">
        <v>31</v>
      </c>
      <c r="D16" s="8" t="s">
        <v>35</v>
      </c>
      <c r="E16" s="8" t="s">
        <v>38</v>
      </c>
      <c r="F16" s="8" t="s">
        <v>41</v>
      </c>
      <c r="G16" s="8" t="s">
        <v>44</v>
      </c>
      <c r="H16" s="8" t="s">
        <v>46</v>
      </c>
      <c r="I16" s="8" t="s">
        <v>49</v>
      </c>
      <c r="J16" s="8" t="s">
        <v>51</v>
      </c>
      <c r="K16" s="8" t="s">
        <v>54</v>
      </c>
    </row>
    <row r="17" spans="1:11">
      <c r="A17" s="5" t="s">
        <v>57</v>
      </c>
      <c r="B17" s="5">
        <v>9</v>
      </c>
      <c r="C17" s="5">
        <v>7</v>
      </c>
      <c r="D17" s="5">
        <v>6</v>
      </c>
      <c r="E17" s="5">
        <v>5</v>
      </c>
      <c r="F17" s="5">
        <v>8</v>
      </c>
      <c r="G17" s="5">
        <v>9</v>
      </c>
      <c r="H17" s="5">
        <v>4</v>
      </c>
      <c r="I17" s="5">
        <v>6</v>
      </c>
      <c r="J17" s="5">
        <v>7</v>
      </c>
      <c r="K17" s="5">
        <v>5</v>
      </c>
    </row>
    <row r="18" spans="1:11">
      <c r="A18" s="5" t="s">
        <v>58</v>
      </c>
      <c r="B18" s="5">
        <v>6</v>
      </c>
      <c r="C18" s="5">
        <v>9</v>
      </c>
      <c r="D18" s="5">
        <v>5</v>
      </c>
      <c r="E18" s="5">
        <v>7</v>
      </c>
      <c r="F18" s="5">
        <v>6</v>
      </c>
      <c r="G18" s="5">
        <v>5</v>
      </c>
      <c r="H18" s="5">
        <v>8</v>
      </c>
      <c r="I18" s="5">
        <v>4</v>
      </c>
      <c r="J18" s="5">
        <v>8</v>
      </c>
      <c r="K18" s="5">
        <v>4</v>
      </c>
    </row>
    <row r="19" spans="1:11">
      <c r="A19" s="5" t="s">
        <v>59</v>
      </c>
      <c r="B19" s="5">
        <v>7</v>
      </c>
      <c r="C19" s="5">
        <v>5</v>
      </c>
      <c r="D19" s="5">
        <v>9</v>
      </c>
      <c r="E19" s="5">
        <v>6</v>
      </c>
      <c r="F19" s="5">
        <v>8</v>
      </c>
      <c r="G19" s="5">
        <v>7</v>
      </c>
      <c r="H19" s="5">
        <v>5</v>
      </c>
      <c r="I19" s="5">
        <v>7</v>
      </c>
      <c r="J19" s="5">
        <v>6</v>
      </c>
      <c r="K19" s="5">
        <v>8</v>
      </c>
    </row>
    <row r="20" spans="1:11">
      <c r="A20" s="5" t="s">
        <v>60</v>
      </c>
      <c r="B20" s="5">
        <v>5</v>
      </c>
      <c r="C20" s="5">
        <v>8</v>
      </c>
      <c r="D20" s="5">
        <v>6</v>
      </c>
      <c r="E20" s="5">
        <v>9</v>
      </c>
      <c r="F20" s="5">
        <v>4</v>
      </c>
      <c r="G20" s="5">
        <v>5</v>
      </c>
      <c r="H20" s="5">
        <v>7</v>
      </c>
      <c r="I20" s="5">
        <v>5</v>
      </c>
      <c r="J20" s="5">
        <v>8</v>
      </c>
      <c r="K20" s="5">
        <v>6</v>
      </c>
    </row>
    <row r="21" spans="1:11">
      <c r="A21" s="5" t="s">
        <v>61</v>
      </c>
      <c r="B21" s="5">
        <v>8</v>
      </c>
      <c r="C21" s="5">
        <v>6</v>
      </c>
      <c r="D21" s="5">
        <v>4</v>
      </c>
      <c r="E21" s="5">
        <v>5</v>
      </c>
      <c r="F21" s="5">
        <v>9</v>
      </c>
      <c r="G21" s="5">
        <v>9</v>
      </c>
      <c r="H21" s="5">
        <v>6</v>
      </c>
      <c r="I21" s="5">
        <v>7</v>
      </c>
      <c r="J21" s="5">
        <v>6</v>
      </c>
      <c r="K21" s="5">
        <v>5</v>
      </c>
    </row>
    <row r="22" spans="1:11">
      <c r="A22" s="5" t="s">
        <v>62</v>
      </c>
      <c r="B22" s="5">
        <v>4</v>
      </c>
      <c r="C22" s="5">
        <v>7</v>
      </c>
      <c r="D22" s="5">
        <v>8</v>
      </c>
      <c r="E22" s="5">
        <v>6</v>
      </c>
      <c r="F22" s="5">
        <v>5</v>
      </c>
      <c r="G22" s="5">
        <v>6</v>
      </c>
      <c r="H22" s="5">
        <v>10</v>
      </c>
      <c r="I22" s="5">
        <v>8</v>
      </c>
      <c r="J22" s="5">
        <v>7</v>
      </c>
      <c r="K22" s="5">
        <v>7</v>
      </c>
    </row>
    <row r="23" spans="1:11">
      <c r="A23" s="5" t="s">
        <v>63</v>
      </c>
      <c r="B23" s="5">
        <v>6</v>
      </c>
      <c r="C23" s="5">
        <v>5</v>
      </c>
      <c r="D23" s="5">
        <v>7</v>
      </c>
      <c r="E23" s="5">
        <v>8</v>
      </c>
      <c r="F23" s="5">
        <v>6</v>
      </c>
      <c r="G23" s="5">
        <v>5</v>
      </c>
      <c r="H23" s="5">
        <v>7</v>
      </c>
      <c r="I23" s="5">
        <v>9</v>
      </c>
      <c r="J23" s="5">
        <v>6</v>
      </c>
      <c r="K23" s="5">
        <v>9</v>
      </c>
    </row>
    <row r="24" spans="1:11">
      <c r="A24" s="5" t="s">
        <v>64</v>
      </c>
      <c r="B24" s="5">
        <v>7</v>
      </c>
      <c r="C24" s="5">
        <v>8</v>
      </c>
      <c r="D24" s="5">
        <v>6</v>
      </c>
      <c r="E24" s="5">
        <v>4</v>
      </c>
      <c r="F24" s="5">
        <v>7</v>
      </c>
      <c r="G24" s="5">
        <v>8</v>
      </c>
      <c r="H24" s="5">
        <v>5</v>
      </c>
      <c r="I24" s="5">
        <v>9</v>
      </c>
      <c r="J24" s="5">
        <v>5</v>
      </c>
      <c r="K24" s="5">
        <v>8</v>
      </c>
    </row>
    <row r="25" spans="1:11">
      <c r="A25" s="5" t="s">
        <v>65</v>
      </c>
      <c r="B25" s="5">
        <v>8</v>
      </c>
      <c r="C25" s="5">
        <v>6</v>
      </c>
      <c r="D25" s="5">
        <v>7</v>
      </c>
      <c r="E25" s="5">
        <v>7</v>
      </c>
      <c r="F25" s="5">
        <v>8</v>
      </c>
      <c r="G25" s="5">
        <v>6</v>
      </c>
      <c r="H25" s="5">
        <v>6</v>
      </c>
      <c r="I25" s="5">
        <v>8</v>
      </c>
      <c r="J25" s="5">
        <v>9</v>
      </c>
      <c r="K25" s="5">
        <v>7</v>
      </c>
    </row>
    <row r="26" spans="1:11">
      <c r="A26" s="5" t="s">
        <v>66</v>
      </c>
      <c r="B26" s="5">
        <v>5</v>
      </c>
      <c r="C26" s="5">
        <v>7</v>
      </c>
      <c r="D26" s="5">
        <v>8</v>
      </c>
      <c r="E26" s="5">
        <v>6</v>
      </c>
      <c r="F26" s="5">
        <v>6</v>
      </c>
      <c r="G26" s="5">
        <v>7</v>
      </c>
      <c r="H26" s="5">
        <v>8</v>
      </c>
      <c r="I26" s="5">
        <v>6</v>
      </c>
      <c r="J26" s="5">
        <v>8</v>
      </c>
      <c r="K26" s="5">
        <v>9</v>
      </c>
    </row>
    <row r="27" spans="1:1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ht="30">
      <c r="A29" s="8" t="s">
        <v>67</v>
      </c>
      <c r="B29" s="8" t="s">
        <v>27</v>
      </c>
      <c r="C29" s="8" t="s">
        <v>31</v>
      </c>
      <c r="D29" s="8" t="s">
        <v>35</v>
      </c>
      <c r="E29" s="8" t="s">
        <v>38</v>
      </c>
      <c r="F29" s="8" t="s">
        <v>41</v>
      </c>
      <c r="G29" s="8" t="s">
        <v>44</v>
      </c>
      <c r="H29" s="8" t="s">
        <v>46</v>
      </c>
      <c r="I29" s="8" t="s">
        <v>49</v>
      </c>
      <c r="J29" s="8" t="s">
        <v>51</v>
      </c>
      <c r="K29" s="8" t="s">
        <v>54</v>
      </c>
    </row>
    <row r="30" spans="1:11">
      <c r="A30" s="5" t="s">
        <v>57</v>
      </c>
      <c r="B30" s="5">
        <v>3</v>
      </c>
      <c r="C30" s="5">
        <v>4</v>
      </c>
      <c r="D30" s="5">
        <v>5</v>
      </c>
      <c r="E30" s="5">
        <v>5.5</v>
      </c>
      <c r="F30" s="5">
        <v>3.5</v>
      </c>
      <c r="G30" s="5">
        <v>3</v>
      </c>
      <c r="H30" s="5">
        <v>6</v>
      </c>
      <c r="I30" s="5">
        <v>5</v>
      </c>
      <c r="J30" s="5">
        <v>4.5</v>
      </c>
      <c r="K30" s="5">
        <v>6</v>
      </c>
    </row>
    <row r="31" spans="1:11">
      <c r="A31" s="5" t="s">
        <v>58</v>
      </c>
      <c r="B31" s="5">
        <v>5</v>
      </c>
      <c r="C31" s="5">
        <v>3</v>
      </c>
      <c r="D31" s="5">
        <v>6</v>
      </c>
      <c r="E31" s="5">
        <v>4</v>
      </c>
      <c r="F31" s="5">
        <v>5.5</v>
      </c>
      <c r="G31" s="5">
        <v>6</v>
      </c>
      <c r="H31" s="5">
        <v>4</v>
      </c>
      <c r="I31" s="5">
        <v>7</v>
      </c>
      <c r="J31" s="5">
        <v>4</v>
      </c>
      <c r="K31" s="5">
        <v>7</v>
      </c>
    </row>
    <row r="32" spans="1:11">
      <c r="A32" s="5" t="s">
        <v>59</v>
      </c>
      <c r="B32" s="5">
        <v>4.5</v>
      </c>
      <c r="C32" s="5">
        <v>5.5</v>
      </c>
      <c r="D32" s="5">
        <v>3</v>
      </c>
      <c r="E32" s="5">
        <v>5</v>
      </c>
      <c r="F32" s="5">
        <v>4</v>
      </c>
      <c r="G32" s="5">
        <v>4.5</v>
      </c>
      <c r="H32" s="5">
        <v>5.5</v>
      </c>
      <c r="I32" s="5">
        <v>4</v>
      </c>
      <c r="J32" s="5">
        <v>5.5</v>
      </c>
      <c r="K32" s="5">
        <v>3.5</v>
      </c>
    </row>
    <row r="33" spans="1:11">
      <c r="A33" s="5" t="s">
        <v>60</v>
      </c>
      <c r="B33" s="5">
        <v>6</v>
      </c>
      <c r="C33" s="5">
        <v>3.5</v>
      </c>
      <c r="D33" s="5">
        <v>5</v>
      </c>
      <c r="E33" s="5">
        <v>3</v>
      </c>
      <c r="F33" s="5">
        <v>7</v>
      </c>
      <c r="G33" s="5">
        <v>6.5</v>
      </c>
      <c r="H33" s="5">
        <v>4.5</v>
      </c>
      <c r="I33" s="5">
        <v>6</v>
      </c>
      <c r="J33" s="5">
        <v>4</v>
      </c>
      <c r="K33" s="5">
        <v>5.5</v>
      </c>
    </row>
    <row r="34" spans="1:11">
      <c r="A34" s="5" t="s">
        <v>61</v>
      </c>
      <c r="B34" s="5">
        <v>3.5</v>
      </c>
      <c r="C34" s="5">
        <v>5</v>
      </c>
      <c r="D34" s="5">
        <v>7</v>
      </c>
      <c r="E34" s="5">
        <v>6</v>
      </c>
      <c r="F34" s="5">
        <v>3</v>
      </c>
      <c r="G34" s="5">
        <v>3</v>
      </c>
      <c r="H34" s="5">
        <v>5</v>
      </c>
      <c r="I34" s="5">
        <v>4.5</v>
      </c>
      <c r="J34" s="5">
        <v>5.5</v>
      </c>
      <c r="K34" s="5">
        <v>6.5</v>
      </c>
    </row>
    <row r="35" spans="1:11">
      <c r="A35" s="5" t="s">
        <v>62</v>
      </c>
      <c r="B35" s="5">
        <v>6.5</v>
      </c>
      <c r="C35" s="5">
        <v>4.5</v>
      </c>
      <c r="D35" s="5">
        <v>4</v>
      </c>
      <c r="E35" s="5">
        <v>5</v>
      </c>
      <c r="F35" s="5">
        <v>6</v>
      </c>
      <c r="G35" s="5">
        <v>5.5</v>
      </c>
      <c r="H35" s="5">
        <v>2.5</v>
      </c>
      <c r="I35" s="5">
        <v>4</v>
      </c>
      <c r="J35" s="5">
        <v>4.5</v>
      </c>
      <c r="K35" s="5">
        <v>4.5</v>
      </c>
    </row>
    <row r="36" spans="1:11">
      <c r="A36" s="5" t="s">
        <v>63</v>
      </c>
      <c r="B36" s="5">
        <v>5</v>
      </c>
      <c r="C36" s="5">
        <v>6</v>
      </c>
      <c r="D36" s="5">
        <v>4.5</v>
      </c>
      <c r="E36" s="5">
        <v>3.5</v>
      </c>
      <c r="F36" s="5">
        <v>5.5</v>
      </c>
      <c r="G36" s="5">
        <v>6</v>
      </c>
      <c r="H36" s="5">
        <v>4.5</v>
      </c>
      <c r="I36" s="5">
        <v>3</v>
      </c>
      <c r="J36" s="5">
        <v>5.5</v>
      </c>
      <c r="K36" s="5">
        <v>3</v>
      </c>
    </row>
    <row r="37" spans="1:11">
      <c r="A37" s="5" t="s">
        <v>64</v>
      </c>
      <c r="B37" s="5">
        <v>4</v>
      </c>
      <c r="C37" s="5">
        <v>3.5</v>
      </c>
      <c r="D37" s="5">
        <v>5</v>
      </c>
      <c r="E37" s="5">
        <v>6.5</v>
      </c>
      <c r="F37" s="5">
        <v>4.5</v>
      </c>
      <c r="G37" s="5">
        <v>4</v>
      </c>
      <c r="H37" s="5">
        <v>5.5</v>
      </c>
      <c r="I37" s="5">
        <v>3</v>
      </c>
      <c r="J37" s="5">
        <v>6</v>
      </c>
      <c r="K37" s="5">
        <v>3.5</v>
      </c>
    </row>
    <row r="38" spans="1:11">
      <c r="A38" s="5" t="s">
        <v>65</v>
      </c>
      <c r="B38" s="5">
        <v>3.5</v>
      </c>
      <c r="C38" s="5">
        <v>5</v>
      </c>
      <c r="D38" s="5">
        <v>4.5</v>
      </c>
      <c r="E38" s="5">
        <v>4.5</v>
      </c>
      <c r="F38" s="5">
        <v>4</v>
      </c>
      <c r="G38" s="5">
        <v>5</v>
      </c>
      <c r="H38" s="5">
        <v>5</v>
      </c>
      <c r="I38" s="5">
        <v>3.5</v>
      </c>
      <c r="J38" s="5">
        <v>3</v>
      </c>
      <c r="K38" s="5">
        <v>4</v>
      </c>
    </row>
    <row r="39" spans="1:11">
      <c r="A39" s="5" t="s">
        <v>66</v>
      </c>
      <c r="B39" s="5">
        <v>5.5</v>
      </c>
      <c r="C39" s="5">
        <v>4.5</v>
      </c>
      <c r="D39" s="5">
        <v>3.5</v>
      </c>
      <c r="E39" s="5">
        <v>5</v>
      </c>
      <c r="F39" s="5">
        <v>5</v>
      </c>
      <c r="G39" s="5">
        <v>4.5</v>
      </c>
      <c r="H39" s="5">
        <v>4</v>
      </c>
      <c r="I39" s="5">
        <v>5</v>
      </c>
      <c r="J39" s="5">
        <v>4</v>
      </c>
      <c r="K39" s="5">
        <v>3</v>
      </c>
    </row>
    <row r="40" spans="1:1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ht="30">
      <c r="A42" s="8" t="s">
        <v>68</v>
      </c>
      <c r="B42" s="8" t="s">
        <v>27</v>
      </c>
      <c r="C42" s="8" t="s">
        <v>31</v>
      </c>
      <c r="D42" s="8" t="s">
        <v>35</v>
      </c>
      <c r="E42" s="8" t="s">
        <v>38</v>
      </c>
      <c r="F42" s="8" t="s">
        <v>41</v>
      </c>
      <c r="G42" s="8" t="s">
        <v>44</v>
      </c>
      <c r="H42" s="8" t="s">
        <v>46</v>
      </c>
      <c r="I42" s="8" t="s">
        <v>49</v>
      </c>
      <c r="J42" s="8" t="s">
        <v>51</v>
      </c>
      <c r="K42" s="8" t="s">
        <v>54</v>
      </c>
    </row>
    <row r="43" spans="1:11">
      <c r="A43" s="5" t="s">
        <v>57</v>
      </c>
      <c r="B43" s="5">
        <v>9</v>
      </c>
      <c r="C43" s="5">
        <v>7</v>
      </c>
      <c r="D43" s="5">
        <v>6</v>
      </c>
      <c r="E43" s="5">
        <v>2</v>
      </c>
      <c r="F43" s="5">
        <v>8</v>
      </c>
      <c r="G43" s="5">
        <v>11</v>
      </c>
      <c r="H43" s="5">
        <v>1</v>
      </c>
      <c r="I43" s="5">
        <v>6</v>
      </c>
      <c r="J43" s="5">
        <v>5</v>
      </c>
      <c r="K43" s="5">
        <v>2</v>
      </c>
    </row>
    <row r="44" spans="1:11">
      <c r="A44" s="5" t="s">
        <v>58</v>
      </c>
      <c r="B44" s="5">
        <v>6</v>
      </c>
      <c r="C44" s="5">
        <v>9</v>
      </c>
      <c r="D44" s="5">
        <v>2</v>
      </c>
      <c r="E44" s="5">
        <v>7</v>
      </c>
      <c r="F44" s="5">
        <v>3</v>
      </c>
      <c r="G44" s="5">
        <v>2</v>
      </c>
      <c r="H44" s="5">
        <v>8</v>
      </c>
      <c r="I44" s="5">
        <v>1</v>
      </c>
      <c r="J44" s="5">
        <v>8</v>
      </c>
      <c r="K44" s="5">
        <v>1</v>
      </c>
    </row>
    <row r="45" spans="1:11">
      <c r="A45" s="5" t="s">
        <v>59</v>
      </c>
      <c r="B45" s="5">
        <v>5</v>
      </c>
      <c r="C45" s="5">
        <v>2</v>
      </c>
      <c r="D45" s="5">
        <v>9</v>
      </c>
      <c r="E45" s="5">
        <v>6</v>
      </c>
      <c r="F45" s="5">
        <v>8</v>
      </c>
      <c r="G45" s="5">
        <v>5</v>
      </c>
      <c r="H45" s="5">
        <v>2</v>
      </c>
      <c r="I45" s="5">
        <v>5</v>
      </c>
      <c r="J45" s="5">
        <v>3</v>
      </c>
      <c r="K45" s="5">
        <v>8</v>
      </c>
    </row>
    <row r="46" spans="1:11">
      <c r="A46" s="5" t="s">
        <v>60</v>
      </c>
      <c r="B46" s="5">
        <v>2</v>
      </c>
      <c r="C46" s="5">
        <v>8</v>
      </c>
      <c r="D46" s="5">
        <v>6</v>
      </c>
      <c r="E46" s="5">
        <v>9</v>
      </c>
      <c r="F46" s="5">
        <v>1</v>
      </c>
      <c r="G46" s="5">
        <v>2</v>
      </c>
      <c r="H46" s="5">
        <v>7</v>
      </c>
      <c r="I46" s="5">
        <v>2</v>
      </c>
      <c r="J46" s="5">
        <v>8</v>
      </c>
      <c r="K46" s="5">
        <v>3</v>
      </c>
    </row>
    <row r="47" spans="1:11">
      <c r="A47" s="5" t="s">
        <v>61</v>
      </c>
      <c r="B47" s="5">
        <v>8</v>
      </c>
      <c r="C47" s="5">
        <v>6</v>
      </c>
      <c r="D47" s="5">
        <v>1</v>
      </c>
      <c r="E47" s="5">
        <v>2</v>
      </c>
      <c r="F47" s="5">
        <v>11</v>
      </c>
      <c r="G47" s="5">
        <v>9</v>
      </c>
      <c r="H47" s="5">
        <v>6</v>
      </c>
      <c r="I47" s="5">
        <v>5</v>
      </c>
      <c r="J47" s="5">
        <v>3</v>
      </c>
      <c r="K47" s="5">
        <v>2</v>
      </c>
    </row>
    <row r="48" spans="1:11">
      <c r="A48" s="5" t="s">
        <v>62</v>
      </c>
      <c r="B48" s="5">
        <v>1</v>
      </c>
      <c r="C48" s="5">
        <v>7</v>
      </c>
      <c r="D48" s="5">
        <v>8</v>
      </c>
      <c r="E48" s="5">
        <v>6</v>
      </c>
      <c r="F48" s="5">
        <v>2</v>
      </c>
      <c r="G48" s="5">
        <v>3</v>
      </c>
      <c r="H48" s="5">
        <v>14</v>
      </c>
      <c r="I48" s="5">
        <v>8</v>
      </c>
      <c r="J48" s="5">
        <v>5</v>
      </c>
      <c r="K48" s="5">
        <v>7</v>
      </c>
    </row>
    <row r="49" spans="1:11">
      <c r="A49" s="5" t="s">
        <v>63</v>
      </c>
      <c r="B49" s="5">
        <v>6</v>
      </c>
      <c r="C49" s="5">
        <v>2</v>
      </c>
      <c r="D49" s="5">
        <v>5</v>
      </c>
      <c r="E49" s="5">
        <v>8</v>
      </c>
      <c r="F49" s="5">
        <v>3</v>
      </c>
      <c r="G49" s="5">
        <v>2</v>
      </c>
      <c r="H49" s="5">
        <v>7</v>
      </c>
      <c r="I49" s="5">
        <v>12</v>
      </c>
      <c r="J49" s="5">
        <v>3</v>
      </c>
      <c r="K49" s="5">
        <v>12</v>
      </c>
    </row>
    <row r="50" spans="1:11">
      <c r="A50" s="5" t="s">
        <v>64</v>
      </c>
      <c r="B50" s="5">
        <v>5</v>
      </c>
      <c r="C50" s="5">
        <v>8</v>
      </c>
      <c r="D50" s="5">
        <v>6</v>
      </c>
      <c r="E50" s="5">
        <v>1</v>
      </c>
      <c r="F50" s="5">
        <v>5</v>
      </c>
      <c r="G50" s="5">
        <v>8</v>
      </c>
      <c r="H50" s="5">
        <v>2</v>
      </c>
      <c r="I50" s="5">
        <v>9</v>
      </c>
      <c r="J50" s="5">
        <v>2</v>
      </c>
      <c r="K50" s="5">
        <v>8</v>
      </c>
    </row>
    <row r="51" spans="1:11">
      <c r="A51" s="5" t="s">
        <v>65</v>
      </c>
      <c r="B51" s="5">
        <v>8</v>
      </c>
      <c r="C51" s="5">
        <v>6</v>
      </c>
      <c r="D51" s="5">
        <v>5</v>
      </c>
      <c r="E51" s="5">
        <v>7</v>
      </c>
      <c r="F51" s="5">
        <v>8</v>
      </c>
      <c r="G51" s="5">
        <v>6</v>
      </c>
      <c r="H51" s="5">
        <v>6</v>
      </c>
      <c r="I51" s="5">
        <v>8</v>
      </c>
      <c r="J51" s="5">
        <v>9</v>
      </c>
      <c r="K51" s="5">
        <v>7</v>
      </c>
    </row>
    <row r="52" spans="1:11">
      <c r="A52" s="5" t="s">
        <v>66</v>
      </c>
      <c r="B52" s="5">
        <v>2</v>
      </c>
      <c r="C52" s="5">
        <v>7</v>
      </c>
      <c r="D52" s="5">
        <v>8</v>
      </c>
      <c r="E52" s="5">
        <v>6</v>
      </c>
      <c r="F52" s="5">
        <v>6</v>
      </c>
      <c r="G52" s="5">
        <v>5</v>
      </c>
      <c r="H52" s="5">
        <v>8</v>
      </c>
      <c r="I52" s="5">
        <v>6</v>
      </c>
      <c r="J52" s="5">
        <v>8</v>
      </c>
      <c r="K52" s="5">
        <v>9</v>
      </c>
    </row>
    <row r="53" spans="1:1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 ht="15">
      <c r="A54" s="8" t="s">
        <v>69</v>
      </c>
      <c r="B54" s="8" t="s">
        <v>70</v>
      </c>
      <c r="C54" s="5"/>
      <c r="D54" s="5"/>
      <c r="E54" s="5"/>
      <c r="F54" s="5"/>
      <c r="G54" s="5"/>
      <c r="H54" s="5"/>
      <c r="I54" s="5"/>
      <c r="J54" s="5"/>
      <c r="K54" s="5"/>
    </row>
    <row r="55" spans="1:11" ht="28.5">
      <c r="A55" s="5" t="s">
        <v>71</v>
      </c>
      <c r="B55" s="5" t="s">
        <v>72</v>
      </c>
      <c r="C55" s="5"/>
      <c r="D55" s="5"/>
      <c r="E55" s="5"/>
      <c r="F55" s="5"/>
      <c r="G55" s="5"/>
      <c r="H55" s="5"/>
      <c r="I55" s="5"/>
      <c r="J55" s="5"/>
      <c r="K55" s="5"/>
    </row>
    <row r="56" spans="1:11" ht="28.5">
      <c r="A56" s="5" t="s">
        <v>73</v>
      </c>
      <c r="B56" s="5" t="s">
        <v>74</v>
      </c>
      <c r="C56" s="5"/>
      <c r="D56" s="5"/>
      <c r="E56" s="5"/>
      <c r="F56" s="5"/>
      <c r="G56" s="5"/>
      <c r="H56" s="5"/>
      <c r="I56" s="5"/>
      <c r="J56" s="5"/>
      <c r="K56" s="5"/>
    </row>
    <row r="57" spans="1:11">
      <c r="A57" s="5" t="s">
        <v>75</v>
      </c>
      <c r="B57" s="5" t="s">
        <v>76</v>
      </c>
      <c r="C57" s="5"/>
      <c r="D57" s="5"/>
      <c r="E57" s="5"/>
      <c r="F57" s="5"/>
      <c r="G57" s="5"/>
      <c r="H57" s="5"/>
      <c r="I57" s="5"/>
      <c r="J57" s="5"/>
      <c r="K57" s="5"/>
    </row>
    <row r="58" spans="1:11">
      <c r="A58" s="5" t="s">
        <v>77</v>
      </c>
      <c r="B58" s="5" t="s">
        <v>78</v>
      </c>
      <c r="C58" s="5"/>
      <c r="D58" s="5"/>
      <c r="E58" s="5"/>
      <c r="F58" s="5"/>
      <c r="G58" s="5"/>
      <c r="H58" s="5"/>
      <c r="I58" s="5"/>
      <c r="J58" s="5"/>
      <c r="K58" s="5"/>
    </row>
    <row r="59" spans="1:11">
      <c r="A59" s="5" t="s">
        <v>79</v>
      </c>
      <c r="B59" s="5" t="s">
        <v>80</v>
      </c>
      <c r="C59" s="5"/>
      <c r="D59" s="5"/>
      <c r="E59" s="5"/>
      <c r="F59" s="5"/>
      <c r="G59" s="5"/>
      <c r="H59" s="5"/>
      <c r="I59" s="5"/>
      <c r="J59" s="5"/>
      <c r="K59" s="5"/>
    </row>
    <row r="60" spans="1:11">
      <c r="A60" s="7" t="s">
        <v>81</v>
      </c>
      <c r="B60" s="7" t="s">
        <v>80</v>
      </c>
      <c r="C60" s="7"/>
      <c r="D60" s="7"/>
      <c r="E60" s="7"/>
      <c r="F60" s="7"/>
      <c r="G60" s="7"/>
      <c r="H60" s="7"/>
      <c r="I60" s="7"/>
      <c r="J60" s="7"/>
      <c r="K60" s="7"/>
    </row>
  </sheetData>
  <mergeCells count="1">
    <mergeCell ref="A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"/>
  <sheetViews>
    <sheetView tabSelected="1" workbookViewId="0">
      <selection activeCell="D13" sqref="D13:K13"/>
    </sheetView>
  </sheetViews>
  <sheetFormatPr baseColWidth="10" defaultColWidth="9" defaultRowHeight="14.25"/>
  <cols>
    <col min="1" max="1" width="14.875" bestFit="1" customWidth="1"/>
    <col min="2" max="2" width="15.75" customWidth="1"/>
    <col min="3" max="5" width="7" customWidth="1"/>
    <col min="6" max="6" width="10.625" customWidth="1"/>
    <col min="7" max="7" width="13.125" bestFit="1" customWidth="1"/>
    <col min="8" max="8" width="10" bestFit="1" customWidth="1"/>
    <col min="9" max="11" width="7" customWidth="1"/>
    <col min="12" max="12" width="12" customWidth="1"/>
    <col min="13" max="13" width="48" customWidth="1"/>
    <col min="14" max="15" width="14" customWidth="1"/>
  </cols>
  <sheetData>
    <row r="1" spans="1:17" ht="27.95" customHeight="1">
      <c r="A1" s="10" t="s">
        <v>82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3" spans="1:17" ht="15">
      <c r="A3" t="s">
        <v>83</v>
      </c>
      <c r="B3" s="3">
        <f>SUMPRODUCT(B6:K15,Datos!B43:K52)</f>
        <v>89</v>
      </c>
      <c r="C3" s="1"/>
      <c r="D3" s="1" t="s">
        <v>84</v>
      </c>
      <c r="E3" s="3">
        <f>SUMPRODUCT(B6:K15,Datos!B30:K39)</f>
        <v>35</v>
      </c>
      <c r="G3" t="s">
        <v>85</v>
      </c>
      <c r="H3" s="3" t="str">
        <f>IF(COUNTIF(M6:M15,"NO")+COUNTIF(P22:P27,"NO")=0,"FACTIBLE","REVISAR")</f>
        <v>FACTIBLE</v>
      </c>
    </row>
    <row r="5" spans="1:17" ht="30">
      <c r="A5" s="8" t="s">
        <v>86</v>
      </c>
      <c r="B5" s="8" t="s">
        <v>27</v>
      </c>
      <c r="C5" s="8" t="s">
        <v>31</v>
      </c>
      <c r="D5" s="8" t="s">
        <v>35</v>
      </c>
      <c r="E5" s="8" t="s">
        <v>38</v>
      </c>
      <c r="F5" s="8" t="s">
        <v>41</v>
      </c>
      <c r="G5" s="8" t="s">
        <v>44</v>
      </c>
      <c r="H5" s="8" t="s">
        <v>46</v>
      </c>
      <c r="I5" s="8" t="s">
        <v>49</v>
      </c>
      <c r="J5" s="8" t="s">
        <v>51</v>
      </c>
      <c r="K5" s="8" t="s">
        <v>54</v>
      </c>
      <c r="L5" s="8" t="s">
        <v>87</v>
      </c>
      <c r="M5" s="8" t="s">
        <v>88</v>
      </c>
      <c r="N5" s="8" t="s">
        <v>89</v>
      </c>
      <c r="O5" s="8" t="s">
        <v>90</v>
      </c>
    </row>
    <row r="6" spans="1:17">
      <c r="A6" s="5" t="s">
        <v>57</v>
      </c>
      <c r="B6" s="9">
        <v>1</v>
      </c>
      <c r="C6" s="9">
        <v>0</v>
      </c>
      <c r="D6" s="9">
        <v>0</v>
      </c>
      <c r="E6" s="9">
        <v>0</v>
      </c>
      <c r="F6" s="12">
        <v>0</v>
      </c>
      <c r="G6" s="12">
        <v>0</v>
      </c>
      <c r="H6" s="9">
        <v>0</v>
      </c>
      <c r="I6" s="9">
        <v>0</v>
      </c>
      <c r="J6" s="9">
        <v>0</v>
      </c>
      <c r="K6" s="9">
        <v>0</v>
      </c>
      <c r="L6" s="5">
        <f t="shared" ref="L6:L15" si="0">SUM(B6:K6)</f>
        <v>1</v>
      </c>
      <c r="M6" s="5" t="s">
        <v>91</v>
      </c>
      <c r="N6" s="5" t="b">
        <f t="shared" ref="N6:N15" si="1">L6&lt;=1</f>
        <v>1</v>
      </c>
      <c r="O6" s="5" t="str">
        <f t="shared" ref="O6:O15" si="2">IF(N6,"OK","NO")</f>
        <v>OK</v>
      </c>
    </row>
    <row r="7" spans="1:17">
      <c r="A7" s="5" t="s">
        <v>58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1</v>
      </c>
      <c r="K7" s="9">
        <v>0</v>
      </c>
      <c r="L7" s="5">
        <f t="shared" si="0"/>
        <v>1</v>
      </c>
      <c r="M7" s="5" t="s">
        <v>92</v>
      </c>
      <c r="N7" s="5" t="b">
        <f t="shared" si="1"/>
        <v>1</v>
      </c>
      <c r="O7" s="5" t="str">
        <f t="shared" si="2"/>
        <v>OK</v>
      </c>
    </row>
    <row r="8" spans="1:17">
      <c r="A8" s="5" t="s">
        <v>59</v>
      </c>
      <c r="B8" s="9">
        <v>0</v>
      </c>
      <c r="C8" s="9">
        <v>0</v>
      </c>
      <c r="D8" s="14">
        <v>1</v>
      </c>
      <c r="E8" s="9">
        <v>0</v>
      </c>
      <c r="F8" s="9">
        <v>0</v>
      </c>
      <c r="G8" s="9">
        <v>0</v>
      </c>
      <c r="H8" s="15">
        <v>0</v>
      </c>
      <c r="I8" s="14">
        <v>0</v>
      </c>
      <c r="J8" s="9">
        <v>0</v>
      </c>
      <c r="K8" s="14">
        <v>0</v>
      </c>
      <c r="L8" s="5">
        <f t="shared" si="0"/>
        <v>1</v>
      </c>
      <c r="M8" s="5" t="s">
        <v>93</v>
      </c>
      <c r="N8" s="5" t="b">
        <f t="shared" si="1"/>
        <v>1</v>
      </c>
      <c r="O8" s="5" t="str">
        <f t="shared" si="2"/>
        <v>OK</v>
      </c>
    </row>
    <row r="9" spans="1:17">
      <c r="A9" s="5" t="s">
        <v>60</v>
      </c>
      <c r="B9" s="9">
        <v>0</v>
      </c>
      <c r="C9" s="9">
        <v>0</v>
      </c>
      <c r="D9" s="9">
        <v>0</v>
      </c>
      <c r="E9" s="9">
        <v>1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5">
        <f t="shared" si="0"/>
        <v>1</v>
      </c>
      <c r="M9" s="5" t="s">
        <v>94</v>
      </c>
      <c r="N9" s="5" t="b">
        <f t="shared" si="1"/>
        <v>1</v>
      </c>
      <c r="O9" s="5" t="str">
        <f t="shared" si="2"/>
        <v>OK</v>
      </c>
    </row>
    <row r="10" spans="1:17">
      <c r="A10" s="5" t="s">
        <v>61</v>
      </c>
      <c r="B10" s="9">
        <v>0</v>
      </c>
      <c r="C10" s="9">
        <v>1</v>
      </c>
      <c r="D10" s="9">
        <v>0</v>
      </c>
      <c r="E10" s="9">
        <v>0</v>
      </c>
      <c r="F10" s="12">
        <v>0</v>
      </c>
      <c r="G10" s="12">
        <v>0</v>
      </c>
      <c r="H10" s="9">
        <v>0</v>
      </c>
      <c r="I10" s="9">
        <v>0</v>
      </c>
      <c r="J10" s="9">
        <v>0</v>
      </c>
      <c r="K10" s="9">
        <v>0</v>
      </c>
      <c r="L10" s="5">
        <f t="shared" si="0"/>
        <v>1</v>
      </c>
      <c r="M10" s="5" t="s">
        <v>95</v>
      </c>
      <c r="N10" s="5" t="b">
        <f t="shared" si="1"/>
        <v>1</v>
      </c>
      <c r="O10" s="5" t="str">
        <f t="shared" si="2"/>
        <v>OK</v>
      </c>
    </row>
    <row r="11" spans="1:17">
      <c r="A11" s="5" t="s">
        <v>62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1</v>
      </c>
      <c r="I11" s="9">
        <v>0</v>
      </c>
      <c r="J11" s="9">
        <v>0</v>
      </c>
      <c r="K11" s="9">
        <v>0</v>
      </c>
      <c r="L11" s="5">
        <f t="shared" si="0"/>
        <v>1</v>
      </c>
      <c r="M11" s="5" t="s">
        <v>96</v>
      </c>
      <c r="N11" s="5" t="b">
        <f t="shared" si="1"/>
        <v>1</v>
      </c>
      <c r="O11" s="5" t="str">
        <f t="shared" si="2"/>
        <v>OK</v>
      </c>
    </row>
    <row r="12" spans="1:17">
      <c r="A12" s="5" t="s">
        <v>63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1</v>
      </c>
      <c r="L12" s="5">
        <f t="shared" si="0"/>
        <v>1</v>
      </c>
      <c r="M12" s="5" t="s">
        <v>97</v>
      </c>
      <c r="N12" s="5" t="b">
        <f t="shared" si="1"/>
        <v>1</v>
      </c>
      <c r="O12" s="5" t="str">
        <f t="shared" si="2"/>
        <v>OK</v>
      </c>
    </row>
    <row r="13" spans="1:17">
      <c r="A13" s="5" t="s">
        <v>64</v>
      </c>
      <c r="B13" s="9">
        <v>0</v>
      </c>
      <c r="C13" s="9">
        <v>0</v>
      </c>
      <c r="D13" s="14">
        <v>0</v>
      </c>
      <c r="E13" s="9">
        <v>0</v>
      </c>
      <c r="F13" s="9">
        <v>0</v>
      </c>
      <c r="G13" s="9">
        <v>0</v>
      </c>
      <c r="H13" s="15">
        <v>0</v>
      </c>
      <c r="I13" s="14">
        <v>1</v>
      </c>
      <c r="J13" s="9">
        <v>0</v>
      </c>
      <c r="K13" s="14">
        <v>0</v>
      </c>
      <c r="L13" s="5">
        <f t="shared" si="0"/>
        <v>1</v>
      </c>
      <c r="M13" s="5" t="s">
        <v>98</v>
      </c>
      <c r="N13" s="5" t="b">
        <f t="shared" si="1"/>
        <v>1</v>
      </c>
      <c r="O13" s="5" t="str">
        <f t="shared" si="2"/>
        <v>OK</v>
      </c>
    </row>
    <row r="14" spans="1:17">
      <c r="A14" s="5" t="s">
        <v>65</v>
      </c>
      <c r="B14" s="9">
        <v>0</v>
      </c>
      <c r="C14" s="9">
        <v>0</v>
      </c>
      <c r="D14" s="9">
        <v>0</v>
      </c>
      <c r="E14" s="9">
        <v>0</v>
      </c>
      <c r="F14" s="9">
        <v>1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5">
        <f t="shared" si="0"/>
        <v>1</v>
      </c>
      <c r="M14" s="5" t="s">
        <v>99</v>
      </c>
      <c r="N14" s="5" t="b">
        <f t="shared" si="1"/>
        <v>1</v>
      </c>
      <c r="O14" s="5" t="str">
        <f t="shared" si="2"/>
        <v>OK</v>
      </c>
    </row>
    <row r="15" spans="1:17">
      <c r="A15" s="5" t="s">
        <v>66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1</v>
      </c>
      <c r="H15" s="9">
        <v>0</v>
      </c>
      <c r="I15" s="9">
        <v>0</v>
      </c>
      <c r="J15" s="9">
        <v>0</v>
      </c>
      <c r="K15" s="9">
        <v>0</v>
      </c>
      <c r="L15" s="5">
        <f t="shared" si="0"/>
        <v>1</v>
      </c>
      <c r="M15" s="5" t="s">
        <v>100</v>
      </c>
      <c r="N15" s="5" t="b">
        <f t="shared" si="1"/>
        <v>1</v>
      </c>
      <c r="O15" s="5" t="str">
        <f t="shared" si="2"/>
        <v>OK</v>
      </c>
    </row>
    <row r="16" spans="1:17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">
      <c r="A17" s="8" t="s">
        <v>101</v>
      </c>
      <c r="B17" s="8">
        <f t="shared" ref="B17:K17" si="3">SUM(B6:B15)</f>
        <v>1</v>
      </c>
      <c r="C17" s="8">
        <f t="shared" si="3"/>
        <v>1</v>
      </c>
      <c r="D17" s="8">
        <f t="shared" si="3"/>
        <v>1</v>
      </c>
      <c r="E17" s="8">
        <f t="shared" si="3"/>
        <v>1</v>
      </c>
      <c r="F17" s="8">
        <f t="shared" si="3"/>
        <v>1</v>
      </c>
      <c r="G17" s="8">
        <f t="shared" si="3"/>
        <v>1</v>
      </c>
      <c r="H17" s="8">
        <f t="shared" si="3"/>
        <v>1</v>
      </c>
      <c r="I17" s="8">
        <f t="shared" si="3"/>
        <v>1</v>
      </c>
      <c r="J17" s="8">
        <f t="shared" si="3"/>
        <v>1</v>
      </c>
      <c r="K17" s="8">
        <f t="shared" si="3"/>
        <v>1</v>
      </c>
      <c r="L17" s="8"/>
      <c r="M17" s="5"/>
      <c r="N17" s="5"/>
      <c r="O17" s="5"/>
    </row>
    <row r="18" spans="1:1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30">
      <c r="A19" s="8" t="s">
        <v>102</v>
      </c>
      <c r="B19" s="8" t="s">
        <v>27</v>
      </c>
      <c r="C19" s="8" t="s">
        <v>31</v>
      </c>
      <c r="D19" s="8" t="s">
        <v>35</v>
      </c>
      <c r="E19" s="8" t="s">
        <v>38</v>
      </c>
      <c r="F19" s="8" t="s">
        <v>41</v>
      </c>
      <c r="G19" s="8" t="s">
        <v>44</v>
      </c>
      <c r="H19" s="8" t="s">
        <v>46</v>
      </c>
      <c r="I19" s="8" t="s">
        <v>49</v>
      </c>
      <c r="J19" s="8" t="s">
        <v>51</v>
      </c>
      <c r="K19" s="8" t="s">
        <v>54</v>
      </c>
      <c r="L19" s="5"/>
      <c r="M19" s="5"/>
      <c r="N19" s="5"/>
      <c r="O19" s="5"/>
    </row>
    <row r="20" spans="1:15">
      <c r="A20" s="5" t="s">
        <v>57</v>
      </c>
      <c r="B20" s="5">
        <v>9</v>
      </c>
      <c r="C20" s="5">
        <v>7</v>
      </c>
      <c r="D20" s="5">
        <v>6</v>
      </c>
      <c r="E20" s="5">
        <v>2</v>
      </c>
      <c r="F20" s="5">
        <v>8</v>
      </c>
      <c r="G20" s="5">
        <v>11</v>
      </c>
      <c r="H20" s="5">
        <v>1</v>
      </c>
      <c r="I20" s="5">
        <v>6</v>
      </c>
      <c r="J20" s="5">
        <v>5</v>
      </c>
      <c r="K20" s="5">
        <v>2</v>
      </c>
      <c r="L20" s="5"/>
      <c r="M20" s="5"/>
      <c r="N20" s="5"/>
      <c r="O20" s="5"/>
    </row>
    <row r="21" spans="1:15" ht="15">
      <c r="A21" s="5" t="s">
        <v>58</v>
      </c>
      <c r="B21" s="5">
        <v>6</v>
      </c>
      <c r="C21" s="5">
        <v>9</v>
      </c>
      <c r="D21" s="5">
        <v>2</v>
      </c>
      <c r="E21" s="5">
        <v>7</v>
      </c>
      <c r="F21" s="5">
        <v>3</v>
      </c>
      <c r="G21" s="5">
        <v>2</v>
      </c>
      <c r="H21" s="5">
        <v>8</v>
      </c>
      <c r="I21" s="5">
        <v>1</v>
      </c>
      <c r="J21" s="5">
        <v>8</v>
      </c>
      <c r="K21" s="5">
        <v>1</v>
      </c>
      <c r="L21" s="5"/>
      <c r="M21" s="8" t="s">
        <v>103</v>
      </c>
      <c r="N21" s="8" t="s">
        <v>89</v>
      </c>
      <c r="O21" s="8" t="s">
        <v>90</v>
      </c>
    </row>
    <row r="22" spans="1:15">
      <c r="A22" s="5" t="s">
        <v>59</v>
      </c>
      <c r="B22" s="5">
        <v>5</v>
      </c>
      <c r="C22" s="5">
        <v>2</v>
      </c>
      <c r="D22" s="5">
        <v>9</v>
      </c>
      <c r="E22" s="5">
        <v>6</v>
      </c>
      <c r="F22" s="5">
        <v>8</v>
      </c>
      <c r="G22" s="5">
        <v>5</v>
      </c>
      <c r="H22" s="5">
        <v>2</v>
      </c>
      <c r="I22" s="5">
        <v>5</v>
      </c>
      <c r="J22" s="5">
        <v>3</v>
      </c>
      <c r="K22" s="5">
        <v>8</v>
      </c>
      <c r="L22" s="5"/>
      <c r="M22" s="5" t="s">
        <v>104</v>
      </c>
      <c r="N22" s="5" t="b">
        <f>AND(B17=1,C17=1,D17=1,E17=1,F17=1,G17=1,H17=1,I17=1,J17=1,K17=1)</f>
        <v>1</v>
      </c>
      <c r="O22" s="5" t="str">
        <f t="shared" ref="O22:O27" si="4">IF(N22,"OK","NO")</f>
        <v>OK</v>
      </c>
    </row>
    <row r="23" spans="1:15">
      <c r="A23" s="5" t="s">
        <v>60</v>
      </c>
      <c r="B23" s="5">
        <v>2</v>
      </c>
      <c r="C23" s="5">
        <v>8</v>
      </c>
      <c r="D23" s="5">
        <v>6</v>
      </c>
      <c r="E23" s="5">
        <v>9</v>
      </c>
      <c r="F23" s="5">
        <v>1</v>
      </c>
      <c r="G23" s="5">
        <v>2</v>
      </c>
      <c r="H23" s="5">
        <v>7</v>
      </c>
      <c r="I23" s="5">
        <v>2</v>
      </c>
      <c r="J23" s="5">
        <v>8</v>
      </c>
      <c r="K23" s="5">
        <v>3</v>
      </c>
      <c r="L23" s="5"/>
      <c r="M23" s="5" t="s">
        <v>105</v>
      </c>
      <c r="N23" s="5" t="b">
        <f>SUMPRODUCT(B6:B15,--(Datos!B17:B26&lt;7))+SUMPRODUCT(D6:D15,--(Datos!D17:D26&lt;7))+SUMPRODUCT(F6:F15,--(Datos!F17:F26&lt;7))+SUMPRODUCT(G6:G15,--(Datos!G17:G26&lt;7))+SUMPRODUCT(I6:I15,--(Datos!I17:I26&lt;7))+SUMPRODUCT(J6:J15,--(Datos!J17:J26&lt;7))=0</f>
        <v>1</v>
      </c>
      <c r="O23" s="5" t="str">
        <f t="shared" si="4"/>
        <v>OK</v>
      </c>
    </row>
    <row r="24" spans="1:15">
      <c r="A24" s="5" t="s">
        <v>61</v>
      </c>
      <c r="B24" s="5">
        <v>8</v>
      </c>
      <c r="C24" s="5">
        <v>6</v>
      </c>
      <c r="D24" s="5">
        <v>1</v>
      </c>
      <c r="E24" s="5">
        <v>2</v>
      </c>
      <c r="F24" s="5">
        <v>11</v>
      </c>
      <c r="G24" s="5">
        <v>9</v>
      </c>
      <c r="H24" s="5">
        <v>6</v>
      </c>
      <c r="I24" s="5">
        <v>5</v>
      </c>
      <c r="J24" s="5">
        <v>3</v>
      </c>
      <c r="K24" s="5">
        <v>2</v>
      </c>
      <c r="L24" s="5"/>
      <c r="M24" s="5" t="s">
        <v>106</v>
      </c>
      <c r="N24" s="5" t="b">
        <f>SUM(F9:G9)=0</f>
        <v>1</v>
      </c>
      <c r="O24" s="5" t="str">
        <f t="shared" si="4"/>
        <v>OK</v>
      </c>
    </row>
    <row r="25" spans="1:15">
      <c r="A25" s="5" t="s">
        <v>62</v>
      </c>
      <c r="B25" s="5">
        <v>1</v>
      </c>
      <c r="C25" s="5">
        <v>7</v>
      </c>
      <c r="D25" s="5">
        <v>8</v>
      </c>
      <c r="E25" s="5">
        <v>6</v>
      </c>
      <c r="F25" s="5">
        <v>2</v>
      </c>
      <c r="G25" s="5">
        <v>3</v>
      </c>
      <c r="H25" s="5">
        <v>14</v>
      </c>
      <c r="I25" s="5">
        <v>8</v>
      </c>
      <c r="J25" s="5">
        <v>5</v>
      </c>
      <c r="K25" s="5">
        <v>7</v>
      </c>
      <c r="L25" s="5"/>
      <c r="M25" s="5" t="s">
        <v>107</v>
      </c>
      <c r="N25" s="5" t="b">
        <f>SUM(B11:C11,E11:G11,J11)=0</f>
        <v>1</v>
      </c>
      <c r="O25" s="5" t="str">
        <f t="shared" si="4"/>
        <v>OK</v>
      </c>
    </row>
    <row r="26" spans="1:15">
      <c r="A26" s="5" t="s">
        <v>63</v>
      </c>
      <c r="B26" s="5">
        <v>6</v>
      </c>
      <c r="C26" s="5">
        <v>2</v>
      </c>
      <c r="D26" s="5">
        <v>5</v>
      </c>
      <c r="E26" s="5">
        <v>8</v>
      </c>
      <c r="F26" s="5">
        <v>3</v>
      </c>
      <c r="G26" s="5">
        <v>2</v>
      </c>
      <c r="H26" s="5">
        <v>7</v>
      </c>
      <c r="I26" s="5">
        <v>12</v>
      </c>
      <c r="J26" s="5">
        <v>3</v>
      </c>
      <c r="K26" s="5">
        <v>12</v>
      </c>
      <c r="L26" s="5"/>
      <c r="M26" s="5" t="s">
        <v>108</v>
      </c>
      <c r="N26" s="5" t="b">
        <f>SUM(F6:G6)+SUM(F10:G10)&lt;=1</f>
        <v>1</v>
      </c>
      <c r="O26" s="5" t="str">
        <f t="shared" si="4"/>
        <v>OK</v>
      </c>
    </row>
    <row r="27" spans="1:15">
      <c r="A27" s="5" t="s">
        <v>64</v>
      </c>
      <c r="B27" s="5">
        <v>5</v>
      </c>
      <c r="C27" s="5">
        <v>8</v>
      </c>
      <c r="D27" s="5">
        <v>6</v>
      </c>
      <c r="E27" s="5">
        <v>1</v>
      </c>
      <c r="F27" s="5">
        <v>5</v>
      </c>
      <c r="G27" s="5">
        <v>8</v>
      </c>
      <c r="H27" s="5">
        <v>2</v>
      </c>
      <c r="I27" s="5">
        <v>9</v>
      </c>
      <c r="J27" s="5">
        <v>2</v>
      </c>
      <c r="K27" s="5">
        <v>8</v>
      </c>
      <c r="L27" s="5"/>
      <c r="M27" s="5" t="s">
        <v>109</v>
      </c>
      <c r="N27" s="5" t="b">
        <f>SUM(D8,I8,K8,D13,I13,K13)&gt;=1</f>
        <v>1</v>
      </c>
      <c r="O27" s="5" t="str">
        <f t="shared" si="4"/>
        <v>OK</v>
      </c>
    </row>
    <row r="28" spans="1:15">
      <c r="A28" s="5" t="s">
        <v>65</v>
      </c>
      <c r="B28" s="5">
        <v>8</v>
      </c>
      <c r="C28" s="5">
        <v>6</v>
      </c>
      <c r="D28" s="5">
        <v>5</v>
      </c>
      <c r="E28" s="5">
        <v>7</v>
      </c>
      <c r="F28" s="5">
        <v>8</v>
      </c>
      <c r="G28" s="5">
        <v>6</v>
      </c>
      <c r="H28" s="5">
        <v>6</v>
      </c>
      <c r="I28" s="5">
        <v>8</v>
      </c>
      <c r="J28" s="5">
        <v>9</v>
      </c>
      <c r="K28" s="5">
        <v>7</v>
      </c>
      <c r="L28" s="5"/>
      <c r="M28" s="5"/>
      <c r="N28" s="5"/>
      <c r="O28" s="5"/>
    </row>
    <row r="29" spans="1:15" ht="15">
      <c r="A29" s="5" t="s">
        <v>66</v>
      </c>
      <c r="B29" s="5">
        <v>2</v>
      </c>
      <c r="C29" s="5">
        <v>7</v>
      </c>
      <c r="D29" s="5">
        <v>8</v>
      </c>
      <c r="E29" s="5">
        <v>6</v>
      </c>
      <c r="F29" s="5">
        <v>6</v>
      </c>
      <c r="G29" s="5">
        <v>5</v>
      </c>
      <c r="H29" s="5">
        <v>8</v>
      </c>
      <c r="I29" s="5">
        <v>6</v>
      </c>
      <c r="J29" s="5">
        <v>8</v>
      </c>
      <c r="K29" s="5">
        <v>9</v>
      </c>
      <c r="L29" s="5"/>
      <c r="M29" s="8" t="s">
        <v>110</v>
      </c>
      <c r="N29" s="8"/>
      <c r="O29" s="8"/>
    </row>
    <row r="30" spans="1:1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 t="s">
        <v>2</v>
      </c>
      <c r="N30" s="5" t="s">
        <v>111</v>
      </c>
      <c r="O30" s="5" t="s">
        <v>112</v>
      </c>
    </row>
    <row r="31" spans="1:1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 t="s">
        <v>113</v>
      </c>
      <c r="N31" s="5" t="s">
        <v>114</v>
      </c>
      <c r="O31" s="5" t="s">
        <v>115</v>
      </c>
    </row>
    <row r="32" spans="1:15" ht="42.75">
      <c r="A32" s="5"/>
      <c r="B32" s="5"/>
      <c r="C32" s="5"/>
      <c r="D32" s="5" t="s">
        <v>145</v>
      </c>
      <c r="F32" s="14">
        <f>+SUM(F6:G6,F10:G10)</f>
        <v>0</v>
      </c>
      <c r="G32" s="5"/>
      <c r="H32" s="5"/>
      <c r="I32" s="5"/>
      <c r="J32" s="5"/>
      <c r="K32" s="5"/>
      <c r="L32" s="5"/>
      <c r="M32" s="5" t="s">
        <v>116</v>
      </c>
      <c r="N32" s="5" t="s">
        <v>117</v>
      </c>
      <c r="O32" s="5" t="s">
        <v>118</v>
      </c>
    </row>
    <row r="33" spans="1:15" ht="42.75">
      <c r="A33" s="5"/>
      <c r="B33" s="5"/>
      <c r="C33" s="5"/>
      <c r="D33" s="5"/>
      <c r="E33" s="5"/>
      <c r="F33" s="13">
        <f>+D8+D13+I8+I13+K8+K13</f>
        <v>2</v>
      </c>
      <c r="G33" s="5"/>
      <c r="H33" s="5"/>
      <c r="I33" s="5"/>
      <c r="J33" s="5"/>
      <c r="K33" s="5"/>
      <c r="L33" s="5"/>
      <c r="M33" s="5" t="s">
        <v>116</v>
      </c>
      <c r="N33" s="5" t="s">
        <v>119</v>
      </c>
      <c r="O33" s="5" t="s">
        <v>120</v>
      </c>
    </row>
    <row r="34" spans="1:15" ht="28.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 t="s">
        <v>116</v>
      </c>
      <c r="N34" s="5" t="s">
        <v>121</v>
      </c>
      <c r="O34" s="5" t="s">
        <v>122</v>
      </c>
    </row>
    <row r="35" spans="1:15" ht="28.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 t="s">
        <v>123</v>
      </c>
      <c r="N35" s="5" t="s">
        <v>124</v>
      </c>
      <c r="O35" s="5" t="s">
        <v>125</v>
      </c>
    </row>
    <row r="36" spans="1:15" ht="28.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 t="s">
        <v>126</v>
      </c>
      <c r="N36" s="7" t="s">
        <v>127</v>
      </c>
      <c r="O36" s="7" t="s">
        <v>128</v>
      </c>
    </row>
  </sheetData>
  <mergeCells count="1">
    <mergeCell ref="A1:Q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3"/>
  <sheetViews>
    <sheetView workbookViewId="0">
      <selection sqref="A1:H1"/>
    </sheetView>
  </sheetViews>
  <sheetFormatPr baseColWidth="10" defaultColWidth="9" defaultRowHeight="14.25"/>
  <cols>
    <col min="1" max="1" width="54" customWidth="1"/>
    <col min="2" max="4" width="32" customWidth="1"/>
  </cols>
  <sheetData>
    <row r="1" spans="1:17" ht="27.95" customHeight="1">
      <c r="A1" s="10" t="s">
        <v>129</v>
      </c>
      <c r="B1" s="11"/>
      <c r="C1" s="11"/>
      <c r="D1" s="11"/>
      <c r="E1" s="11"/>
      <c r="F1" s="11"/>
      <c r="G1" s="11"/>
      <c r="H1" s="11"/>
      <c r="I1" s="2"/>
      <c r="J1" s="2"/>
      <c r="K1" s="2"/>
      <c r="L1" s="2"/>
      <c r="M1" s="2"/>
      <c r="N1" s="2"/>
      <c r="O1" s="2"/>
      <c r="P1" s="2"/>
      <c r="Q1" s="2"/>
    </row>
    <row r="3" spans="1:17" ht="15">
      <c r="A3" s="8" t="s">
        <v>130</v>
      </c>
      <c r="B3" s="8" t="s">
        <v>131</v>
      </c>
      <c r="C3" s="8" t="s">
        <v>132</v>
      </c>
      <c r="D3" s="8" t="s">
        <v>133</v>
      </c>
    </row>
    <row r="4" spans="1:17" ht="36" customHeight="1">
      <c r="A4" s="5" t="s">
        <v>134</v>
      </c>
      <c r="B4" s="5"/>
      <c r="C4" s="5"/>
      <c r="D4" s="5"/>
    </row>
    <row r="5" spans="1:17" ht="36" customHeight="1">
      <c r="A5" s="5" t="s">
        <v>135</v>
      </c>
      <c r="B5" s="5"/>
      <c r="C5" s="5"/>
      <c r="D5" s="5"/>
    </row>
    <row r="6" spans="1:17" ht="36" customHeight="1">
      <c r="A6" s="5" t="s">
        <v>136</v>
      </c>
      <c r="B6" s="5"/>
      <c r="C6" s="5"/>
      <c r="D6" s="5"/>
    </row>
    <row r="7" spans="1:17" ht="36" customHeight="1">
      <c r="A7" s="5" t="s">
        <v>137</v>
      </c>
      <c r="B7" s="5"/>
      <c r="C7" s="5"/>
      <c r="D7" s="5"/>
    </row>
    <row r="8" spans="1:17" ht="36" customHeight="1">
      <c r="A8" s="5" t="s">
        <v>138</v>
      </c>
      <c r="B8" s="5"/>
      <c r="C8" s="5"/>
      <c r="D8" s="5"/>
    </row>
    <row r="9" spans="1:17" ht="36" customHeight="1">
      <c r="A9" s="5" t="s">
        <v>139</v>
      </c>
      <c r="B9" s="5"/>
      <c r="C9" s="5"/>
      <c r="D9" s="5"/>
    </row>
    <row r="10" spans="1:17" ht="36" customHeight="1">
      <c r="A10" s="5" t="s">
        <v>140</v>
      </c>
      <c r="B10" s="5"/>
      <c r="C10" s="5"/>
      <c r="D10" s="5"/>
    </row>
    <row r="11" spans="1:17" ht="36" customHeight="1">
      <c r="A11" s="5" t="s">
        <v>141</v>
      </c>
      <c r="B11" s="5"/>
      <c r="C11" s="5"/>
      <c r="D11" s="5"/>
    </row>
    <row r="12" spans="1:17" ht="36" customHeight="1">
      <c r="A12" s="5" t="s">
        <v>142</v>
      </c>
      <c r="B12" s="5"/>
      <c r="C12" s="5"/>
      <c r="D12" s="5"/>
    </row>
    <row r="13" spans="1:17" ht="36" customHeight="1">
      <c r="A13" s="7" t="s">
        <v>143</v>
      </c>
      <c r="B13" s="7"/>
      <c r="C13" s="7"/>
      <c r="D13" s="7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</vt:lpstr>
      <vt:lpstr>Datos</vt:lpstr>
      <vt:lpstr>Modelo Solver</vt:lpstr>
      <vt:lpstr>Analisis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Najera</cp:lastModifiedBy>
  <dcterms:created xsi:type="dcterms:W3CDTF">2026-04-25T18:38:07Z</dcterms:created>
  <dcterms:modified xsi:type="dcterms:W3CDTF">2026-04-25T18:38:08Z</dcterms:modified>
</cp:coreProperties>
</file>